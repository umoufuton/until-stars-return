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0e670d6a8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金安排" sheetId="1" r:id="Rf3b41e7c6efc4b04"/>
    <x:sheet xmlns:r="http://schemas.openxmlformats.org/officeDocument/2006/relationships" name="费用明细" sheetId="2" r:id="R60b0831a814b43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"/>
    <x:numFmt numFmtId="202" formatCode="yyyy-mm-dd"/>
  </x:numFmts>
  <x:fonts count="4">
    <x:font>
      <x:sz val="11"/>
      <x:name val="Carlito"/>
    </x:font>
    <x:font>
      <x:sz val="11"/>
      <x:color rgb="FF000000"/>
      <x:name val="SimSun"/>
    </x:font>
    <x:font>
      <x:b/>
      <x:sz val="16"/>
      <x:color rgb="FF000000"/>
      <x:name val="SimSun"/>
    </x:font>
    <x:font>
      <x:b/>
      <x:sz val="11"/>
      <x:color rgb="FF000000"/>
      <x:name val="SimSun"/>
    </x:font>
  </x:fonts>
  <x:fills count="3">
    <x:fill>
      <x:patternFill patternType="none"/>
    </x:fill>
    <x:fill>
      <x:patternFill patternType="gray125"/>
    </x:fill>
    <x:fill>
      <x:patternFill patternType="solid">
        <x:fgColor rgb="FFE8E8E8"/>
      </x:patternFill>
    </x:fill>
  </x:fills>
  <x:borders count="2">
    <x:border/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0" fontId="3" fillId="2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2f5dd3e0d64979" /><Relationship Type="http://schemas.openxmlformats.org/officeDocument/2006/relationships/theme" Target="/xl/theme/theme1.xml" Id="R48828cbaabf645c8" /><Relationship Type="http://schemas.openxmlformats.org/officeDocument/2006/relationships/sharedStrings" Target="/xl/sharedStrings.xml" Id="R91f0a3c189b34b08" /><Relationship Type="http://schemas.openxmlformats.org/officeDocument/2006/relationships/worksheet" Target="/xl/worksheets/sheet1.xml" Id="Rf3b41e7c6efc4b04" /><Relationship Type="http://schemas.openxmlformats.org/officeDocument/2006/relationships/worksheet" Target="/xl/worksheets/sheet2.xml" Id="R60b0831a814b43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1.5" hidden="0" customWidth="1"/>
    <x:col min="2" max="2" width="10.75" hidden="0" customWidth="1"/>
    <x:col min="3" max="3" width="10" hidden="0" customWidth="1"/>
    <x:col min="4" max="4" width="13.25" hidden="0" customWidth="1"/>
    <x:col min="5" max="5" width="14.5" hidden="0" customWidth="1"/>
    <x:col min="6" max="6" width="46.880001068115234" hidden="0" customWidth="1"/>
  </x:cols>
  <x:sheetData>
    <x:row r="1" ht="35" customHeight="1">
      <x:c r="A1" s="6" t="str">
        <x:v>沈宁治疗费用及资金安排</x:v>
      </x:c>
      <x:c r="B1" s="4" t="str"/>
      <x:c r="C1" s="4" t="str"/>
      <x:c r="D1" s="4" t="str"/>
      <x:c r="E1" s="4" t="str"/>
      <x:c r="F1" s="4" t="str"/>
    </x:row>
    <x:row r="2" ht="28" customHeight="1">
      <x:c r="A2" s="4" t="str">
        <x:v>整理：沈立诚　　病人：沈宁</x:v>
      </x:c>
      <x:c r="B2" s="4" t="str"/>
      <x:c r="C2" s="4" t="str"/>
      <x:c r="D2" s="4" t="str"/>
      <x:c r="E2" s="4" t="str">
        <x:v>截至日期</x:v>
      </x:c>
      <x:c r="F2" s="14" t="n">
        <x:v>36910</x:v>
      </x:c>
    </x:row>
    <x:row r="3" ht="32" customHeight="1">
      <x:c r="A3" s="4" t="str">
        <x:v>金额单位：人民币元。已发生费用见“费用明细”；下列预算由本人按近期支出估算。</x:v>
      </x:c>
      <x:c r="B3" s="4" t="str"/>
      <x:c r="C3" s="4" t="str"/>
      <x:c r="D3" s="4" t="str"/>
      <x:c r="E3" s="4" t="str"/>
      <x:c r="F3" s="4" t="str"/>
    </x:row>
    <x:row r="4" ht="36" customHeight="1">
      <x:c r="A4" s="8" t="str">
        <x:v>项目</x:v>
      </x:c>
      <x:c r="B4" s="8" t="str"/>
      <x:c r="C4" s="8" t="str"/>
      <x:c r="D4" s="8" t="str"/>
      <x:c r="E4" s="8" t="str">
        <x:v>金额</x:v>
      </x:c>
      <x:c r="F4" s="8" t="str">
        <x:v>说明</x:v>
      </x:c>
    </x:row>
    <x:row r="5" ht="36" customHeight="1">
      <x:c r="A5" s="4" t="str">
        <x:v>已发生费用</x:v>
      </x:c>
      <x:c r="B5" s="4" t="str"/>
      <x:c r="C5" s="4" t="str"/>
      <x:c r="D5" s="4" t="str"/>
      <x:c r="E5" s="10" t="n">
        <x:f>'费用明细'!C9</x:f>
        <x:v>26240</x:v>
      </x:c>
      <x:c r="F5" s="4" t="str">
        <x:v>门诊、检查及住院费用，含本次住院尚未结清部分</x:v>
      </x:c>
    </x:row>
    <x:row r="6" ht="36" customHeight="1">
      <x:c r="A6" s="4" t="str">
        <x:v>已付及已交预付款</x:v>
      </x:c>
      <x:c r="B6" s="4" t="str"/>
      <x:c r="C6" s="4" t="str"/>
      <x:c r="D6" s="4" t="str"/>
      <x:c r="E6" s="10" t="n">
        <x:f>'费用明细'!D9</x:f>
        <x:v>20660</x:v>
      </x:c>
      <x:c r="F6" s="4" t="str">
        <x:v>已交到医院的钱</x:v>
      </x:c>
    </x:row>
    <x:row r="7" ht="36" customHeight="1">
      <x:c r="A7" s="4" t="str">
        <x:v>目前尚欠医院</x:v>
      </x:c>
      <x:c r="B7" s="4" t="str"/>
      <x:c r="C7" s="4" t="str"/>
      <x:c r="D7" s="4" t="str"/>
      <x:c r="E7" s="10" t="n">
        <x:f>'费用明细'!E9</x:f>
        <x:v>5580</x:v>
      </x:c>
      <x:c r="F7" s="4" t="str">
        <x:v>已发生费用减已付及预付款</x:v>
      </x:c>
    </x:row>
    <x:row r="8" ht="36" customHeight="1">
      <x:c r="A8" s="4" t="str">
        <x:v>后续三个月预计还需</x:v>
      </x:c>
      <x:c r="B8" s="4" t="str"/>
      <x:c r="C8" s="4" t="str"/>
      <x:c r="D8" s="4" t="str"/>
      <x:c r="E8" s="10" t="n">
        <x:f>E19</x:f>
        <x:v>27600</x:v>
      </x:c>
      <x:c r="F8" s="4" t="str">
        <x:v>2001-01-20 至 2001-04-19，另算</x:v>
      </x:c>
    </x:row>
    <x:row r="9" ht="36" customHeight="1">
      <x:c r="A9" s="4" t="str">
        <x:v>手头可以动用的钱</x:v>
      </x:c>
      <x:c r="B9" s="4" t="str"/>
      <x:c r="C9" s="4" t="str"/>
      <x:c r="D9" s="4" t="str"/>
      <x:c r="E9" s="10" t="n">
        <x:f>E26</x:f>
        <x:v>10300</x:v>
      </x:c>
      <x:c r="F9" s="4" t="str">
        <x:v>下面三项余额，已扣除前面交过的钱</x:v>
      </x:c>
    </x:row>
    <x:row r="10" ht="36" customHeight="1">
      <x:c r="A10" s="9" t="str">
        <x:v>还需筹款</x:v>
      </x:c>
      <x:c r="B10" s="9" t="str"/>
      <x:c r="C10" s="9" t="str"/>
      <x:c r="D10" s="9" t="str"/>
      <x:c r="E10" s="11" t="n">
        <x:f>MAX(0,E7+E8-E9)</x:f>
        <x:v>22880</x:v>
      </x:c>
      <x:c r="F10" s="9" t="str">
        <x:v>目前尚欠医院＋后续预算－手头可用资金</x:v>
      </x:c>
    </x:row>
    <x:row r="11" ht="36" customHeight="1">
      <x:c r="A11" s="4" t="str"/>
      <x:c r="B11" s="4" t="str"/>
      <x:c r="C11" s="4" t="str"/>
      <x:c r="D11" s="4" t="str"/>
      <x:c r="E11" s="10" t="str"/>
      <x:c r="F11" s="4" t="str"/>
    </x:row>
    <x:row r="12" ht="30" customHeight="1">
      <x:c r="A12" s="8" t="str">
        <x:v>后续费用预算（按三个月准备）</x:v>
      </x:c>
      <x:c r="B12" s="8" t="str"/>
      <x:c r="C12" s="8" t="str"/>
      <x:c r="D12" s="8" t="str"/>
      <x:c r="E12" s="12" t="str"/>
      <x:c r="F12" s="8" t="str"/>
    </x:row>
    <x:row r="13" ht="28" customHeight="1">
      <x:c r="A13" s="8" t="str">
        <x:v>项目</x:v>
      </x:c>
      <x:c r="B13" s="8" t="str">
        <x:v>数量</x:v>
      </x:c>
      <x:c r="C13" s="8" t="str">
        <x:v>单位</x:v>
      </x:c>
      <x:c r="D13" s="8" t="str">
        <x:v>单价／预留</x:v>
      </x:c>
      <x:c r="E13" s="12" t="str">
        <x:v>金额</x:v>
      </x:c>
      <x:c r="F13" s="8" t="str">
        <x:v>估算依据</x:v>
      </x:c>
    </x:row>
    <x:row r="14" ht="44" customHeight="1">
      <x:c r="A14" s="4" t="str">
        <x:v>后续门诊药费</x:v>
      </x:c>
      <x:c r="B14" s="13" t="n">
        <x:v>3</x:v>
      </x:c>
      <x:c r="C14" s="4" t="str">
        <x:v>月</x:v>
      </x:c>
      <x:c r="D14" s="10" t="n">
        <x:v>3200</x:v>
      </x:c>
      <x:c r="E14" s="10" t="n">
        <x:f>B14*D14</x:f>
        <x:v>9600</x:v>
      </x:c>
      <x:c r="F14" s="4" t="str">
        <x:v>按最近用药开支估算，实际按医嘱和取药单</x:v>
      </x:c>
    </x:row>
    <x:row r="15" ht="44" customHeight="1">
      <x:c r="A15" s="4" t="str">
        <x:v>门诊复查及化验</x:v>
      </x:c>
      <x:c r="B15" s="13" t="n">
        <x:v>3</x:v>
      </x:c>
      <x:c r="C15" s="4" t="str">
        <x:v>次</x:v>
      </x:c>
      <x:c r="D15" s="10" t="n">
        <x:v>600</x:v>
      </x:c>
      <x:c r="E15" s="10" t="n">
        <x:f>B15*D15</x:f>
        <x:v>1800</x:v>
      </x:c>
      <x:c r="F15" s="4" t="str">
        <x:v>暂按每月一次；增加检查时另记</x:v>
      </x:c>
    </x:row>
    <x:row r="16" ht="56" customHeight="1">
      <x:c r="A16" s="4" t="str">
        <x:v>住院追加预留</x:v>
      </x:c>
      <x:c r="B16" s="13" t="n">
        <x:v>1</x:v>
      </x:c>
      <x:c r="C16" s="4" t="str">
        <x:v>项</x:v>
      </x:c>
      <x:c r="D16" s="10" t="n">
        <x:v>10000</x:v>
      </x:c>
      <x:c r="E16" s="10" t="n">
        <x:f>B16*D16</x:f>
        <x:v>10000</x:v>
      </x:c>
      <x:c r="F16" s="4" t="str">
        <x:v>1月19日以后继续住院及再次入院备用，不含已登记费用</x:v>
      </x:c>
    </x:row>
    <x:row r="17" ht="56" customHeight="1">
      <x:c r="A17" s="4" t="str">
        <x:v>配型及移植评估</x:v>
      </x:c>
      <x:c r="B17" s="13" t="n">
        <x:v>1</x:v>
      </x:c>
      <x:c r="C17" s="4" t="str">
        <x:v>项</x:v>
      </x:c>
      <x:c r="D17" s="10" t="n">
        <x:v>3500</x:v>
      </x:c>
      <x:c r="E17" s="10" t="n">
        <x:f>B17*D17</x:f>
        <x:v>3500</x:v>
      </x:c>
      <x:c r="F17" s="4" t="str">
        <x:v>先备检查费；是否能做、总费用多少均未定</x:v>
      </x:c>
    </x:row>
    <x:row r="18" ht="44" customHeight="1">
      <x:c r="A18" s="4" t="str">
        <x:v>往返车费及陪护食宿</x:v>
      </x:c>
      <x:c r="B18" s="13" t="n">
        <x:v>3</x:v>
      </x:c>
      <x:c r="C18" s="4" t="str">
        <x:v>月</x:v>
      </x:c>
      <x:c r="D18" s="10" t="n">
        <x:v>900</x:v>
      </x:c>
      <x:c r="E18" s="10" t="n">
        <x:f>B18*D18</x:f>
        <x:v>2700</x:v>
      </x:c>
      <x:c r="F18" s="4" t="str">
        <x:v>按外地复查、陪护需要预留</x:v>
      </x:c>
    </x:row>
    <x:row r="19" ht="36" customHeight="1">
      <x:c r="A19" s="9" t="str">
        <x:v>预算合计</x:v>
      </x:c>
      <x:c r="B19" s="9" t="str"/>
      <x:c r="C19" s="9" t="str"/>
      <x:c r="D19" s="9" t="str"/>
      <x:c r="E19" s="11" t="n">
        <x:f>SUM(E14:E18)</x:f>
        <x:v>27600</x:v>
      </x:c>
      <x:c r="F19" s="9" t="str"/>
    </x:row>
    <x:row r="20" ht="36" customHeight="1">
      <x:c r="A20" s="4" t="str"/>
      <x:c r="B20" s="4" t="str"/>
      <x:c r="C20" s="4" t="str"/>
      <x:c r="D20" s="4" t="str"/>
      <x:c r="E20" s="10" t="str"/>
      <x:c r="F20" s="4" t="str"/>
    </x:row>
    <x:row r="21" ht="30" customHeight="1">
      <x:c r="A21" s="8" t="str">
        <x:v>可用资金（截至1月19日晚）</x:v>
      </x:c>
      <x:c r="B21" s="8" t="str"/>
      <x:c r="C21" s="8" t="str"/>
      <x:c r="D21" s="8" t="str"/>
      <x:c r="E21" s="12" t="str"/>
      <x:c r="F21" s="8" t="str"/>
    </x:row>
    <x:row r="22" ht="36" customHeight="1">
      <x:c r="A22" s="8" t="str">
        <x:v>来源</x:v>
      </x:c>
      <x:c r="B22" s="8" t="str"/>
      <x:c r="C22" s="8" t="str"/>
      <x:c r="D22" s="8" t="str"/>
      <x:c r="E22" s="12" t="str">
        <x:v>余额／到账额</x:v>
      </x:c>
      <x:c r="F22" s="8" t="str">
        <x:v>说明</x:v>
      </x:c>
    </x:row>
    <x:row r="23" ht="36" customHeight="1">
      <x:c r="A23" s="4" t="str">
        <x:v>本人存款及现金</x:v>
      </x:c>
      <x:c r="B23" s="4" t="str"/>
      <x:c r="C23" s="4" t="str"/>
      <x:c r="D23" s="4" t="str"/>
      <x:c r="E23" s="10" t="n">
        <x:v>4500</x:v>
      </x:c>
      <x:c r="F23" s="4" t="str">
        <x:v>付过前期费用后所剩，全部拿出</x:v>
      </x:c>
    </x:row>
    <x:row r="24" ht="36" customHeight="1">
      <x:c r="A24" s="4" t="str">
        <x:v>许静存款</x:v>
      </x:c>
      <x:c r="B24" s="4" t="str"/>
      <x:c r="C24" s="4" t="str"/>
      <x:c r="D24" s="4" t="str"/>
      <x:c r="E24" s="10" t="n">
        <x:v>2800</x:v>
      </x:c>
      <x:c r="F24" s="4" t="str">
        <x:v>已电话核过，可以用于下一次交费</x:v>
      </x:c>
    </x:row>
    <x:row r="25" ht="36" customHeight="1">
      <x:c r="A25" s="4" t="str">
        <x:v>亲友借款（已收到）</x:v>
      </x:c>
      <x:c r="B25" s="4" t="str"/>
      <x:c r="C25" s="4" t="str"/>
      <x:c r="D25" s="4" t="str"/>
      <x:c r="E25" s="10" t="n">
        <x:v>3000</x:v>
      </x:c>
      <x:c r="F25" s="4" t="str">
        <x:v>1月18日收到，尚未交医院</x:v>
      </x:c>
    </x:row>
    <x:row r="26" ht="36" customHeight="1">
      <x:c r="A26" s="9" t="str">
        <x:v>可用合计</x:v>
      </x:c>
      <x:c r="B26" s="9" t="str"/>
      <x:c r="C26" s="9" t="str"/>
      <x:c r="D26" s="9" t="str"/>
      <x:c r="E26" s="11" t="n">
        <x:f>SUM(E23:E25)</x:f>
        <x:v>10300</x:v>
      </x:c>
      <x:c r="F26" s="9" t="str">
        <x:v>未到账的钱不计入</x:v>
      </x:c>
    </x:row>
    <x:row r="27" ht="36" customHeight="1">
      <x:c r="A27" s="4" t="str"/>
      <x:c r="B27" s="4" t="str"/>
      <x:c r="C27" s="4" t="str"/>
      <x:c r="D27" s="4" t="str"/>
      <x:c r="E27" s="10" t="str"/>
      <x:c r="F27" s="4" t="str"/>
    </x:row>
    <x:row r="28" ht="46" customHeight="1">
      <x:c r="A28" s="4" t="str">
        <x:v>另外询问的借款</x:v>
      </x:c>
      <x:c r="B28" s="4" t="str"/>
      <x:c r="C28" s="4" t="str"/>
      <x:c r="D28" s="4" t="str"/>
      <x:c r="E28" s="10" t="n">
        <x:v>6000</x:v>
      </x:c>
      <x:c r="F28" s="4" t="str">
        <x:v>还没有答复，金额和到款时间均未定</x:v>
      </x:c>
    </x:row>
    <x:row r="29" ht="42" customHeight="1">
      <x:c r="A29" s="4" t="str">
        <x:v>先补住院欠款。春节前确认后续用药和复查安排，药费需留在手上。</x:v>
      </x:c>
      <x:c r="B29" s="4" t="str"/>
      <x:c r="C29" s="4" t="str"/>
      <x:c r="D29" s="4" t="str"/>
      <x:c r="E29" s="4" t="str"/>
      <x:c r="F29" s="4" t="str"/>
    </x:row>
    <x:row r="30" ht="42" customHeight="1">
      <x:c r="A30" s="4" t="str">
        <x:v>移植治疗费尚未计入，等评估和配型结果出来再问。后续预算按实际收据更新。</x:v>
      </x:c>
      <x:c r="B30" s="4" t="str"/>
      <x:c r="C30" s="4" t="str"/>
      <x:c r="D30" s="4" t="str"/>
      <x:c r="E30" s="4" t="str"/>
      <x:c r="F30" s="4" t="str"/>
    </x:row>
  </x:sheetData>
  <x:mergeCells>
    <x:mergeCell ref="A1:F1"/>
    <x:mergeCell ref="A2:D2"/>
    <x:mergeCell ref="A3:F3"/>
    <x:mergeCell ref="A4:D4"/>
    <x:mergeCell ref="A5:D5"/>
    <x:mergeCell ref="A6:D6"/>
    <x:mergeCell ref="A7:D7"/>
    <x:mergeCell ref="A8:D8"/>
    <x:mergeCell ref="A9:D9"/>
    <x:mergeCell ref="A10:D10"/>
    <x:mergeCell ref="A12:F12"/>
    <x:mergeCell ref="A21:F21"/>
    <x:mergeCell ref="A22:D22"/>
    <x:mergeCell ref="A23:D23"/>
    <x:mergeCell ref="A24:D24"/>
    <x:mergeCell ref="A25:D25"/>
    <x:mergeCell ref="A26:D26"/>
    <x:mergeCell ref="A28:D28"/>
    <x:mergeCell ref="A29:F29"/>
    <x:mergeCell ref="A30:F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14.380000114440918" hidden="0" customWidth="1"/>
    <x:col min="2" max="2" width="26.25" hidden="0" customWidth="1"/>
    <x:col min="3" max="3" width="14" hidden="0" customWidth="1"/>
    <x:col min="4" max="4" width="14" hidden="0" customWidth="1"/>
    <x:col min="5" max="5" width="14" hidden="0" customWidth="1"/>
    <x:col min="6" max="6" width="44.380001068115234" hidden="0" customWidth="1"/>
  </x:cols>
  <x:sheetData>
    <x:row r="1" ht="35" customHeight="1">
      <x:c r="A1" s="6" t="str">
        <x:v>沈宁治疗费用登记</x:v>
      </x:c>
      <x:c r="B1" s="4" t="str"/>
      <x:c r="C1" s="4" t="str"/>
      <x:c r="D1" s="4" t="str"/>
      <x:c r="E1" s="4" t="str"/>
      <x:c r="F1" s="4" t="str"/>
    </x:row>
    <x:row r="2" ht="30" customHeight="1">
      <x:c r="A2" s="4" t="str">
        <x:v>病情：慢性粒细胞白血病（慢性期）　　整理人：沈立诚</x:v>
      </x:c>
      <x:c r="B2" s="4" t="str"/>
      <x:c r="C2" s="4" t="str"/>
      <x:c r="D2" s="4" t="str"/>
      <x:c r="E2" s="4" t="str"/>
      <x:c r="F2" s="4" t="str"/>
    </x:row>
    <x:row r="3" ht="32" customHeight="1">
      <x:c r="A3" s="4" t="str">
        <x:v>截至2001年1月19日。按门诊收据、住院结算单和费用清单登记；金额单位：人民币元。</x:v>
      </x:c>
      <x:c r="B3" s="4" t="str"/>
      <x:c r="C3" s="4" t="str"/>
      <x:c r="D3" s="4" t="str"/>
      <x:c r="E3" s="4" t="str"/>
      <x:c r="F3" s="4" t="str"/>
    </x:row>
    <x:row r="4" ht="40" customHeight="1">
      <x:c r="A4" s="8" t="str">
        <x:v>单据日期</x:v>
      </x:c>
      <x:c r="B4" s="8" t="str">
        <x:v>项目</x:v>
      </x:c>
      <x:c r="C4" s="8" t="str">
        <x:v>已发生费用</x:v>
      </x:c>
      <x:c r="D4" s="8" t="str">
        <x:v>已付／预付</x:v>
      </x:c>
      <x:c r="E4" s="8" t="str">
        <x:v>尚欠</x:v>
      </x:c>
      <x:c r="F4" s="8" t="str">
        <x:v>凭据及核对说明</x:v>
      </x:c>
    </x:row>
    <x:row r="5" ht="65" customHeight="1">
      <x:c r="A5" s="14" t="n">
        <x:v>36878</x:v>
      </x:c>
      <x:c r="B5" s="4" t="str">
        <x:v>门诊及初步检查</x:v>
      </x:c>
      <x:c r="C5" s="10" t="n">
        <x:v>186</x:v>
      </x:c>
      <x:c r="D5" s="10" t="n">
        <x:v>186</x:v>
      </x:c>
      <x:c r="E5" s="10" t="n">
        <x:f>C5-D5</x:f>
        <x:v>0</x:v>
      </x:c>
      <x:c r="F5" s="4" t="str">
        <x:v>南江市第一人民医院门诊收据：血常规、生化等</x:v>
      </x:c>
    </x:row>
    <x:row r="6" ht="76" customHeight="1">
      <x:c r="A6" s="14" t="n">
        <x:v>36882</x:v>
      </x:c>
      <x:c r="B6" s="4" t="str">
        <x:v>转院复查及确诊检查</x:v>
      </x:c>
      <x:c r="C6" s="10" t="n">
        <x:v>2154</x:v>
      </x:c>
      <x:c r="D6" s="10" t="n">
        <x:v>2154</x:v>
      </x:c>
      <x:c r="E6" s="10" t="n">
        <x:f>C6-D6</x:f>
        <x:v>0</x:v>
      </x:c>
      <x:c r="F6" s="4" t="str">
        <x:v>省中医院门诊及检验收据：骨髓、染色体等检查</x:v>
      </x:c>
    </x:row>
    <x:row r="7" ht="92" customHeight="1">
      <x:c r="A7" s="14" t="n">
        <x:v>36890</x:v>
      </x:c>
      <x:c r="B7" s="4" t="str">
        <x:v>首次住院结算</x:v>
      </x:c>
      <x:c r="C7" s="10" t="n">
        <x:v>16320</x:v>
      </x:c>
      <x:c r="D7" s="10" t="n">
        <x:v>16320</x:v>
      </x:c>
      <x:c r="E7" s="10" t="n">
        <x:f>C7-D7</x:f>
        <x:v>0</x:v>
      </x:c>
      <x:c r="F7" s="4" t="str">
        <x:v>省中医院，12月23日至30日；药费、治疗、检验及床位等共计16320元。入院预交的款已包括在已付金额内</x:v>
      </x:c>
    </x:row>
    <x:row r="8" ht="105" customHeight="1">
      <x:c r="A8" s="14" t="n">
        <x:v>36909</x:v>
      </x:c>
      <x:c r="B8" s="4" t="str">
        <x:v>本次住院累计费用</x:v>
      </x:c>
      <x:c r="C8" s="10" t="n">
        <x:v>7580</x:v>
      </x:c>
      <x:c r="D8" s="10" t="n">
        <x:v>2000</x:v>
      </x:c>
      <x:c r="E8" s="10" t="n">
        <x:f>C8-D8</x:f>
        <x:v>5580</x:v>
      </x:c>
      <x:c r="F8" s="4" t="str">
        <x:v>省中医院，1月12日至18日费用清单；1月12日预交2000元，尚未出院结算，后续费用继续增加</x:v>
      </x:c>
    </x:row>
    <x:row r="9" ht="34" customHeight="1">
      <x:c r="A9" s="9" t="str">
        <x:v>合计</x:v>
      </x:c>
      <x:c r="B9" s="9" t="str"/>
      <x:c r="C9" s="11" t="n">
        <x:f>SUM(C5:C8)</x:f>
        <x:v>26240</x:v>
      </x:c>
      <x:c r="D9" s="11" t="n">
        <x:f>SUM(D5:D8)</x:f>
        <x:v>20660</x:v>
      </x:c>
      <x:c r="E9" s="11" t="n">
        <x:f>SUM(E5:E8)</x:f>
        <x:v>5580</x:v>
      </x:c>
      <x:c r="F9" s="9" t="str"/>
    </x:row>
    <x:row r="10" ht="36" customHeight="1">
      <x:c r="A10" s="4" t="str"/>
      <x:c r="B10" s="4" t="str"/>
      <x:c r="C10" s="4" t="str"/>
      <x:c r="D10" s="4" t="str"/>
      <x:c r="E10" s="4" t="str"/>
      <x:c r="F10" s="4" t="str"/>
    </x:row>
    <x:row r="11" ht="48" customHeight="1">
      <x:c r="A11" s="4" t="str">
        <x:v>已付费用合计中包含住院预付款，结算时不重复相加。尚欠为已登记费用扣除已付款。</x:v>
      </x:c>
      <x:c r="B11" s="4" t="str"/>
      <x:c r="C11" s="4" t="str"/>
      <x:c r="D11" s="4" t="str"/>
      <x:c r="E11" s="4" t="str"/>
      <x:c r="F11" s="4" t="str"/>
    </x:row>
    <x:row r="12" ht="48" customHeight="1">
      <x:c r="A12" s="4" t="str">
        <x:v>本页只登记已发生医疗费用。后续预算和目前可动用的钱另列在“资金安排”。</x:v>
      </x:c>
      <x:c r="B12" s="4" t="str"/>
      <x:c r="C12" s="4" t="str"/>
      <x:c r="D12" s="4" t="str"/>
      <x:c r="E12" s="4" t="str"/>
      <x:c r="F12" s="4" t="str"/>
    </x:row>
  </x:sheetData>
  <x:mergeCells>
    <x:mergeCell ref="A1:F1"/>
    <x:mergeCell ref="A2:F2"/>
    <x:mergeCell ref="A3:F3"/>
    <x:mergeCell ref="A11:F11"/>
    <x:mergeCell ref="A12:F12"/>
  </x:mergeCells>
  <x:pageMargins left="0.7" right="0.7" top="0.75" bottom="0.75" header="0.3" footer="0.3"/>
</x:worksheet>
</file>